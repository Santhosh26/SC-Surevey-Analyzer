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Data" sheetId="2" state="visible" r:id="rId4"/>
    <sheet name="Theme_Codes" sheetId="3" state="visible" r:id="rId5"/>
    <sheet name="Q1_Culture" sheetId="4" state="visible" r:id="rId6"/>
    <sheet name="Q2_Mission" sheetId="5" state="visible" r:id="rId7"/>
    <sheet name="Q3_Roles" sheetId="6" state="visible" r:id="rId8"/>
    <sheet name="Q5_Skills" sheetId="7" state="visible" r:id="rId9"/>
    <sheet name="Q6_AI_Usage" sheetId="8" state="visible" r:id="rId10"/>
    <sheet name="Q7_AI_Tools" sheetId="9" state="visible" r:id="rId11"/>
    <sheet name="Q8_Customer_Value" sheetId="10" state="visible" r:id="rId12"/>
    <sheet name="Q9_Success_Metrics" sheetId="11" state="visible" r:id="rId13"/>
    <sheet name="Q10_Relationships" sheetId="12" state="visible" r:id="rId14"/>
    <sheet name="Q11_Human_Value" sheetId="13" state="visible" r:id="rId15"/>
    <sheet name="Q12_Challenges" sheetId="14" state="visible" r:id="rId16"/>
    <sheet name="Q13_Stop" sheetId="15" state="visible" r:id="rId17"/>
    <sheet name="Q14_Start" sheetId="16" state="visible" r:id="rId18"/>
    <sheet name="Q4_Rankings" sheetId="17" state="visible" r:id="rId19"/>
    <sheet name="Quick_Wins" sheetId="18" state="visible" r:id="rId20"/>
    <sheet name="Executive_Summary" sheetId="19" state="visible" r:id="rId21"/>
    <sheet name="AI_Analysis_Helper" sheetId="20" state="visible" r:id="rId22"/>
    <sheet name="Sample_Data_Forma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<sst xmlns="http://schemas.openxmlformats.org/spreadsheetml/2006/main" count="574" uniqueCount="349">
  <si>
    <t xml:space="preserve">PRESALES ALL-HANDS SURVEY ANALYSIS</t>
  </si>
  <si>
    <t xml:space="preserve">Survey Overview</t>
  </si>
  <si>
    <t xml:space="preserve">Analysis Status</t>
  </si>
  <si>
    <t xml:space="preserve">Total Responses:</t>
  </si>
  <si>
    <t xml:space="preserve">Raw Data Import</t>
  </si>
  <si>
    <t xml:space="preserve">☐ Pending</t>
  </si>
  <si>
    <t xml:space="preserve">Response Rate:</t>
  </si>
  <si>
    <t xml:space="preserve">~100%</t>
  </si>
  <si>
    <t xml:space="preserve">Theme Coding</t>
  </si>
  <si>
    <t xml:space="preserve">Date of Survey:</t>
  </si>
  <si>
    <t xml:space="preserve">November 2025</t>
  </si>
  <si>
    <t xml:space="preserve">Quantitative Analysis</t>
  </si>
  <si>
    <t xml:space="preserve">Quick Wins Identified</t>
  </si>
  <si>
    <t xml:space="preserve">Executive Summary</t>
  </si>
  <si>
    <t xml:space="preserve">KEY INSIGHTS PREVIEW</t>
  </si>
  <si>
    <t xml:space="preserve">Top 3 Cultural Themes</t>
  </si>
  <si>
    <t xml:space="preserve">Current AI Adoption</t>
  </si>
  <si>
    <t xml:space="preserve">1.</t>
  </si>
  <si>
    <t xml:space="preserve">Heavy Users:</t>
  </si>
  <si>
    <t xml:space="preserve">2.</t>
  </si>
  <si>
    <t xml:space="preserve">Moderate Users:</t>
  </si>
  <si>
    <t xml:space="preserve">3.</t>
  </si>
  <si>
    <t xml:space="preserve">Non-Users:</t>
  </si>
  <si>
    <t xml:space="preserve">Future Mission Consensus</t>
  </si>
  <si>
    <t xml:space="preserve">Top 3 Challenges</t>
  </si>
  <si>
    <t xml:space="preserve">Top Ranked Future Skill</t>
  </si>
  <si>
    <t xml:space="preserve">Most Mentioned AI Use Case</t>
  </si>
  <si>
    <t xml:space="preserve">QUICK WINS READY FOR ACTION</t>
  </si>
  <si>
    <t xml:space="preserve">See "Quick_Wins" sheet for immediately actionable items from Stop/Start data</t>
  </si>
  <si>
    <t xml:space="preserve">PASTE YOUR MENTI.COM EXPORT HERE</t>
  </si>
  <si>
    <t xml:space="preserve">Response ID</t>
  </si>
  <si>
    <t xml:space="preserve">Q1_Culture</t>
  </si>
  <si>
    <t xml:space="preserve">Q2_Mission</t>
  </si>
  <si>
    <t xml:space="preserve">Q3_Roles</t>
  </si>
  <si>
    <t xml:space="preserve">Q4_Rankings</t>
  </si>
  <si>
    <t xml:space="preserve">Q5_Skills</t>
  </si>
  <si>
    <t xml:space="preserve">Q6_AI_Usage</t>
  </si>
  <si>
    <t xml:space="preserve">Q7_AI_Tools</t>
  </si>
  <si>
    <t xml:space="preserve">Q8_Customer_Value</t>
  </si>
  <si>
    <t xml:space="preserve">Q9_Success_Metrics</t>
  </si>
  <si>
    <t xml:space="preserve">Q10_Relationships</t>
  </si>
  <si>
    <t xml:space="preserve">Q11_Human_Value</t>
  </si>
  <si>
    <t xml:space="preserve">Q12_Challenges</t>
  </si>
  <si>
    <t xml:space="preserve">Q13_Stop</t>
  </si>
  <si>
    <t xml:space="preserve">Q14_Start</t>
  </si>
  <si>
    <t xml:space="preserve">Instructions:</t>
  </si>
  <si>
    <t xml:space="preserve">1. Export responses from Menti.com as Excel</t>
  </si>
  <si>
    <t xml:space="preserve">2. Map each question column to the headers above</t>
  </si>
  <si>
    <t xml:space="preserve">3. Paste response data starting from Row 3</t>
  </si>
  <si>
    <t xml:space="preserve">4. Generate Response IDs (R001, R002, etc.) in Column A</t>
  </si>
  <si>
    <t xml:space="preserve">5. Update Dashboard status markers when complete</t>
  </si>
  <si>
    <t xml:space="preserve">THEMATIC CODING FRAMEWORK</t>
  </si>
  <si>
    <t xml:space="preserve">HOW TO USE THIS FRAMEWORK</t>
  </si>
  <si>
    <t xml:space="preserve">1. Read through all responses for a question</t>
  </si>
  <si>
    <t xml:space="preserve">2. Identify 5-7 recurring themes or patterns</t>
  </si>
  <si>
    <t xml:space="preserve">3. Create a theme code (e.g., COLLAB, INNOV, SILOS)</t>
  </si>
  <si>
    <t xml:space="preserve">4. Define each theme with criteria</t>
  </si>
  <si>
    <t xml:space="preserve">5. Tag each response with 1-3 relevant theme codes</t>
  </si>
  <si>
    <t xml:space="preserve">6. Use COUNTIF formulas to calculate frequencies</t>
  </si>
  <si>
    <t xml:space="preserve">7. Pull representative quotes for each major theme</t>
  </si>
  <si>
    <t xml:space="preserve">SAMPLE THEME CODES BY QUESTION</t>
  </si>
  <si>
    <t xml:space="preserve">Question</t>
  </si>
  <si>
    <t xml:space="preserve">Theme Code</t>
  </si>
  <si>
    <t xml:space="preserve">Theme Name</t>
  </si>
  <si>
    <t xml:space="preserve">Definition</t>
  </si>
  <si>
    <t xml:space="preserve">Example Keywords</t>
  </si>
  <si>
    <t xml:space="preserve">Q1: Culture</t>
  </si>
  <si>
    <t xml:space="preserve">COLLAB</t>
  </si>
  <si>
    <t xml:space="preserve">Collaborative</t>
  </si>
  <si>
    <t xml:space="preserve">Emphasizes teamwork and cross-functional cooperation</t>
  </si>
  <si>
    <t xml:space="preserve">together, team, partnership</t>
  </si>
  <si>
    <t xml:space="preserve">SILOS</t>
  </si>
  <si>
    <t xml:space="preserve">Siloed</t>
  </si>
  <si>
    <t xml:space="preserve">Mentions isolation or lack of coordination</t>
  </si>
  <si>
    <t xml:space="preserve">disconnected, isolated, separate</t>
  </si>
  <si>
    <t xml:space="preserve">INNOV</t>
  </si>
  <si>
    <t xml:space="preserve">Innovative</t>
  </si>
  <si>
    <t xml:space="preserve">Highlights creativity and experimentation</t>
  </si>
  <si>
    <t xml:space="preserve">creative, experiment, try new</t>
  </si>
  <si>
    <t xml:space="preserve">REACT</t>
  </si>
  <si>
    <t xml:space="preserve">Reactive</t>
  </si>
  <si>
    <t xml:space="preserve">Describes firefighting and last-minute work</t>
  </si>
  <si>
    <t xml:space="preserve">urgent, rushed, scrambling</t>
  </si>
  <si>
    <t xml:space="preserve">Q2: Mission</t>
  </si>
  <si>
    <t xml:space="preserve">TRUST</t>
  </si>
  <si>
    <t xml:space="preserve">Trusted Advisor</t>
  </si>
  <si>
    <t xml:space="preserve">Becoming strategic partner to customers</t>
  </si>
  <si>
    <t xml:space="preserve">advisor, consultant, partner</t>
  </si>
  <si>
    <t xml:space="preserve">COMPLEX</t>
  </si>
  <si>
    <t xml:space="preserve">Solution Complexity</t>
  </si>
  <si>
    <t xml:space="preserve">Navigating complex technical landscapes</t>
  </si>
  <si>
    <t xml:space="preserve">complex, architecture, integration</t>
  </si>
  <si>
    <t xml:space="preserve">VALUE</t>
  </si>
  <si>
    <t xml:space="preserve">Value Demonstration</t>
  </si>
  <si>
    <t xml:space="preserve">Proving business outcomes and ROI</t>
  </si>
  <si>
    <t xml:space="preserve">ROI, value, business case</t>
  </si>
  <si>
    <t xml:space="preserve">Q6: AI Usage</t>
  </si>
  <si>
    <t xml:space="preserve">RESEARCH</t>
  </si>
  <si>
    <t xml:space="preserve">Research Acceleration</t>
  </si>
  <si>
    <t xml:space="preserve">Using AI for faster information gathering</t>
  </si>
  <si>
    <t xml:space="preserve">research, find, discover</t>
  </si>
  <si>
    <t xml:space="preserve">CONTENT</t>
  </si>
  <si>
    <t xml:space="preserve">Content Generation</t>
  </si>
  <si>
    <t xml:space="preserve">Creating demos, docs, presentations</t>
  </si>
  <si>
    <t xml:space="preserve">create, generate, draft</t>
  </si>
  <si>
    <t xml:space="preserve">ANALYSIS</t>
  </si>
  <si>
    <t xml:space="preserve">Data Analysis</t>
  </si>
  <si>
    <t xml:space="preserve">Analyzing customer data and patterns</t>
  </si>
  <si>
    <t xml:space="preserve">analyze, insights, patterns</t>
  </si>
  <si>
    <t xml:space="preserve">Q11: Human Value</t>
  </si>
  <si>
    <t xml:space="preserve">EMPATHY</t>
  </si>
  <si>
    <t xml:space="preserve">Emotional Intelligence</t>
  </si>
  <si>
    <t xml:space="preserve">Building relationships and trust</t>
  </si>
  <si>
    <t xml:space="preserve">relationship, trust, understand</t>
  </si>
  <si>
    <t xml:space="preserve">CREATIVITY</t>
  </si>
  <si>
    <t xml:space="preserve">Creative Problem Solving</t>
  </si>
  <si>
    <t xml:space="preserve">Novel solutions to unique challenges</t>
  </si>
  <si>
    <t xml:space="preserve">creative, unique, custom</t>
  </si>
  <si>
    <t xml:space="preserve">Q12: Challenges</t>
  </si>
  <si>
    <t xml:space="preserve">TIME</t>
  </si>
  <si>
    <t xml:space="preserve">Time Constraints</t>
  </si>
  <si>
    <t xml:space="preserve">Lack of time for strategic work</t>
  </si>
  <si>
    <t xml:space="preserve">time, busy, overwhelmed</t>
  </si>
  <si>
    <t xml:space="preserve">TOOLS</t>
  </si>
  <si>
    <t xml:space="preserve">Tool Limitations</t>
  </si>
  <si>
    <t xml:space="preserve">Inadequate or inefficient tools</t>
  </si>
  <si>
    <t xml:space="preserve">tools, systems, technology</t>
  </si>
  <si>
    <t xml:space="preserve">COORD</t>
  </si>
  <si>
    <t xml:space="preserve">Coordination Issues</t>
  </si>
  <si>
    <t xml:space="preserve">Difficulty aligning teams</t>
  </si>
  <si>
    <t xml:space="preserve">coordination, alignment, communication</t>
  </si>
  <si>
    <t xml:space="preserve">Q1: Team Culture</t>
  </si>
  <si>
    <t xml:space="preserve">How would you describe the team culture in International Presales?</t>
  </si>
  <si>
    <t xml:space="preserve">Response Text</t>
  </si>
  <si>
    <t xml:space="preserve">Theme Code 1</t>
  </si>
  <si>
    <t xml:space="preserve">Theme Code 2</t>
  </si>
  <si>
    <t xml:space="preserve">Theme Code 3</t>
  </si>
  <si>
    <t xml:space="preserve">THEME FREQUENCY</t>
  </si>
  <si>
    <t xml:space="preserve">Count</t>
  </si>
  <si>
    <t xml:space="preserve">Percentage</t>
  </si>
  <si>
    <t xml:space="preserve">REPRESENTATIVE QUOTES</t>
  </si>
  <si>
    <t xml:space="preserve">Theme</t>
  </si>
  <si>
    <t xml:space="preserve">Quote</t>
  </si>
  <si>
    <t xml:space="preserve">Q2: Future Mission</t>
  </si>
  <si>
    <t xml:space="preserve">What do you believe will be the primary mission or purpose of the Presales role?</t>
  </si>
  <si>
    <t xml:space="preserve">Q3: Future Roles</t>
  </si>
  <si>
    <t xml:space="preserve">What do you believe are the future roles in International Presales?</t>
  </si>
  <si>
    <t xml:space="preserve">Q5: Additional Skills</t>
  </si>
  <si>
    <t xml:space="preserve">What additional skillsets will be important for Presales in the future?</t>
  </si>
  <si>
    <t xml:space="preserve">How would you use AI to be more efficient in your role?</t>
  </si>
  <si>
    <t xml:space="preserve">Q7: Current AI Tools</t>
  </si>
  <si>
    <t xml:space="preserve">What AI Tools do you currently use?</t>
  </si>
  <si>
    <t xml:space="preserve">Q8: Customer Value</t>
  </si>
  <si>
    <t xml:space="preserve">How should we evolve the way we demonstrate value to customers?</t>
  </si>
  <si>
    <t xml:space="preserve">Q9: Success Metrics</t>
  </si>
  <si>
    <t xml:space="preserve">What outcomes should define success beyond technical wins?</t>
  </si>
  <si>
    <t xml:space="preserve">Q10: Cross-functional</t>
  </si>
  <si>
    <t xml:space="preserve">How should relationships with PM, Marketing, PS, CS evolve?</t>
  </si>
  <si>
    <t xml:space="preserve">What is the most important, uniquely human value that Presales delivers?</t>
  </si>
  <si>
    <t xml:space="preserve">What are your biggest challenges and internal bottlenecks today?</t>
  </si>
  <si>
    <t xml:space="preserve">Q13: Stop Doing</t>
  </si>
  <si>
    <t xml:space="preserve">What should we stop doing today?</t>
  </si>
  <si>
    <t xml:space="preserve">Q14: Start Doing</t>
  </si>
  <si>
    <t xml:space="preserve">What should we start doing differently tomorrow?</t>
  </si>
  <si>
    <t xml:space="preserve">Q4: Future Skillset Rankings</t>
  </si>
  <si>
    <t xml:space="preserve">Rank these key skillsets &amp; mindsets for Presales of the future</t>
  </si>
  <si>
    <t xml:space="preserve">RANKING ANALYSIS</t>
  </si>
  <si>
    <t xml:space="preserve">Skillset</t>
  </si>
  <si>
    <t xml:space="preserve">1st Place (5pts)</t>
  </si>
  <si>
    <t xml:space="preserve">2nd Place (4pts)</t>
  </si>
  <si>
    <t xml:space="preserve">3rd Place (3pts)</t>
  </si>
  <si>
    <t xml:space="preserve">Total Score</t>
  </si>
  <si>
    <t xml:space="preserve">Rank</t>
  </si>
  <si>
    <t xml:space="preserve">Technical Depth &amp; Product Expertise</t>
  </si>
  <si>
    <t xml:space="preserve">Business Acumen &amp; ROI Analysis</t>
  </si>
  <si>
    <t xml:space="preserve">Strategic Thinking &amp; Consultative Approach</t>
  </si>
  <si>
    <t xml:space="preserve">Communication &amp; Storytelling</t>
  </si>
  <si>
    <t xml:space="preserve">AI/Automation Literacy</t>
  </si>
  <si>
    <t xml:space="preserve">Adaptability &amp; Continuous Learning</t>
  </si>
  <si>
    <t xml:space="preserve">Industry Domain Knowledge</t>
  </si>
  <si>
    <t xml:space="preserve">Data Analysis &amp; Interpretation</t>
  </si>
  <si>
    <t xml:space="preserve">1. Count how many people ranked each skill in 1st, 2nd, 3rd place</t>
  </si>
  <si>
    <t xml:space="preserve">2. Enter counts in columns B, C, D</t>
  </si>
  <si>
    <t xml:space="preserve">3. Total Score will auto-calculate (weighted: 5-4-3-2-1)</t>
  </si>
  <si>
    <t xml:space="preserve">4. Sort by Total Score to see top-ranked skills</t>
  </si>
  <si>
    <t xml:space="preserve">5. Add custom skills mentioned by respondents as needed</t>
  </si>
  <si>
    <t xml:space="preserve">QUICK WINS - IMMEDIATE ACTION ITEMS</t>
  </si>
  <si>
    <t xml:space="preserve">Extracted from "Stop Doing" and "Start Doing" responses</t>
  </si>
  <si>
    <t xml:space="preserve">STOP DOING (Immediate Relief)</t>
  </si>
  <si>
    <t xml:space="preserve">Action</t>
  </si>
  <si>
    <t xml:space="preserve">Frequency</t>
  </si>
  <si>
    <t xml:space="preserve">Impact</t>
  </si>
  <si>
    <t xml:space="preserve">Effort</t>
  </si>
  <si>
    <t xml:space="preserve">Priority</t>
  </si>
  <si>
    <t xml:space="preserve">Owner</t>
  </si>
  <si>
    <t xml:space="preserve">Timeline</t>
  </si>
  <si>
    <t xml:space="preserve">Redundant status meetings</t>
  </si>
  <si>
    <t xml:space="preserve">High</t>
  </si>
  <si>
    <t xml:space="preserve">Low</t>
  </si>
  <si>
    <t xml:space="preserve">P1</t>
  </si>
  <si>
    <t xml:space="preserve">Director</t>
  </si>
  <si>
    <t xml:space="preserve">Week 1</t>
  </si>
  <si>
    <t xml:space="preserve">Manual report generation</t>
  </si>
  <si>
    <t xml:space="preserve">Medium</t>
  </si>
  <si>
    <t xml:space="preserve">Ops Team</t>
  </si>
  <si>
    <t xml:space="preserve">Week 2</t>
  </si>
  <si>
    <t xml:space="preserve">Duplicate data entry across systems</t>
  </si>
  <si>
    <t xml:space="preserve">P2</t>
  </si>
  <si>
    <t xml:space="preserve">IT/Ops</t>
  </si>
  <si>
    <t xml:space="preserve">Month 1</t>
  </si>
  <si>
    <t xml:space="preserve">Low-value administrative tasks</t>
  </si>
  <si>
    <t xml:space="preserve">Team Leads</t>
  </si>
  <si>
    <t xml:space="preserve">Week 3</t>
  </si>
  <si>
    <t xml:space="preserve">START DOING (Strategic Investments)</t>
  </si>
  <si>
    <t xml:space="preserve">Weekly AI tool training sessions</t>
  </si>
  <si>
    <t xml:space="preserve">Enablement</t>
  </si>
  <si>
    <t xml:space="preserve">Customer success story library</t>
  </si>
  <si>
    <t xml:space="preserve">Marketing</t>
  </si>
  <si>
    <t xml:space="preserve">Regular PM/Presales sync meetings</t>
  </si>
  <si>
    <t xml:space="preserve">PM Lead</t>
  </si>
  <si>
    <t xml:space="preserve">Automated demo environments</t>
  </si>
  <si>
    <t xml:space="preserve">Engineering</t>
  </si>
  <si>
    <t xml:space="preserve">Quarter 1</t>
  </si>
  <si>
    <t xml:space="preserve">PRIORITIZATION FRAMEWORK</t>
  </si>
  <si>
    <t xml:space="preserve">Fill in Frequency from theme analysis</t>
  </si>
  <si>
    <t xml:space="preserve">Impact: High = affects &gt;50% of team, Medium = 25-50%, Low = &lt;25%</t>
  </si>
  <si>
    <t xml:space="preserve">Effort: Low = &lt;2 weeks, Medium = 2-8 weeks, High = &gt;8 weeks</t>
  </si>
  <si>
    <t xml:space="preserve">Priority: P1 = High Impact + Low Effort (Quick Wins)</t>
  </si>
  <si>
    <t xml:space="preserve">          P2 = High Impact + High Effort (Strategic Projects)</t>
  </si>
  <si>
    <t xml:space="preserve">          P3 = Everything else (Defer)</t>
  </si>
  <si>
    <t xml:space="preserve">EXECUTIVE SUMMARY</t>
  </si>
  <si>
    <t xml:space="preserve">International Presales All-Hands Survey - Key Findings</t>
  </si>
  <si>
    <t xml:space="preserve">1. CURRENT STATE ASSESSMENT</t>
  </si>
  <si>
    <t xml:space="preserve">Team Culture:</t>
  </si>
  <si>
    <t xml:space="preserve">[Insert top 3 themes from Q1_Culture]</t>
  </si>
  <si>
    <t xml:space="preserve">Top Challenges:</t>
  </si>
  <si>
    <t xml:space="preserve">[Insert top 3 themes from Q12_Challenges]</t>
  </si>
  <si>
    <t xml:space="preserve">AI Adoption Status:</t>
  </si>
  <si>
    <t xml:space="preserve">[Insert distribution from Q7_AI_Tools]</t>
  </si>
  <si>
    <t xml:space="preserve">2. FUTURE VISION (2-YEAR HORIZON)</t>
  </si>
  <si>
    <t xml:space="preserve">Primary Mission:</t>
  </si>
  <si>
    <t xml:space="preserve">[Insert consensus from Q2_Mission]</t>
  </si>
  <si>
    <t xml:space="preserve">Critical Skillsets:</t>
  </si>
  <si>
    <t xml:space="preserve">[Insert top 5 from Q4_Rankings]</t>
  </si>
  <si>
    <t xml:space="preserve">Uniquely Human Value:</t>
  </si>
  <si>
    <t xml:space="preserve">[Insert top themes from Q11_Human_Value]</t>
  </si>
  <si>
    <t xml:space="preserve">3. STRATEGIC IMPERATIVES</t>
  </si>
  <si>
    <t xml:space="preserve">Customer Value Evolution:</t>
  </si>
  <si>
    <t xml:space="preserve">[Insert themes from Q8_Customer_Value]</t>
  </si>
  <si>
    <t xml:space="preserve">Cross-functional Relationships:</t>
  </si>
  <si>
    <t xml:space="preserve">[Insert themes from Q10_Relationships]</t>
  </si>
  <si>
    <t xml:space="preserve">Success Metrics:</t>
  </si>
  <si>
    <t xml:space="preserve">[Insert themes from Q9_Success_Metrics]</t>
  </si>
  <si>
    <t xml:space="preserve">4. IMMEDIATE ACTIONS (Quick Wins)</t>
  </si>
  <si>
    <t xml:space="preserve">Stop Doing (P1):</t>
  </si>
  <si>
    <t xml:space="preserve">[Top 3 items from Quick_Wins sheet]</t>
  </si>
  <si>
    <t xml:space="preserve">Start Doing (P1):</t>
  </si>
  <si>
    <t xml:space="preserve">5. MEDIUM-TERM ROADMAP (6-18 months)</t>
  </si>
  <si>
    <t xml:space="preserve">Skills Development:</t>
  </si>
  <si>
    <t xml:space="preserve">[Based on Q4_Rankings and Q5_Skills gaps]</t>
  </si>
  <si>
    <t xml:space="preserve">AI Enablement:</t>
  </si>
  <si>
    <t xml:space="preserve">[Based on Q6_AI_Usage and Q7_AI_Tools gap analysis]</t>
  </si>
  <si>
    <t xml:space="preserve">Process Optimization:</t>
  </si>
  <si>
    <t xml:space="preserve">[Based on Q12_Challenges and automation opportunities]</t>
  </si>
  <si>
    <t xml:space="preserve">6. LONG-TERM TRANSFORMATION (18-24 months)</t>
  </si>
  <si>
    <t xml:space="preserve">Role Evolution:</t>
  </si>
  <si>
    <t xml:space="preserve">[Based on Q3_Roles]</t>
  </si>
  <si>
    <t xml:space="preserve">Operating Model:</t>
  </si>
  <si>
    <t xml:space="preserve">[Based on Q10_Relationships and org structure implications]</t>
  </si>
  <si>
    <t xml:space="preserve">7. KEY TENSIONS &amp; TRADE-OFFS</t>
  </si>
  <si>
    <t xml:space="preserve">[Identify contradictions in responses]</t>
  </si>
  <si>
    <t xml:space="preserve">Example: If some say "need more technical depth" while others say "need more business focus"</t>
  </si>
  <si>
    <t xml:space="preserve">8. RECOMMENDATIONS</t>
  </si>
  <si>
    <t xml:space="preserve">Based on the complete analysis, provide 3-5 strategic recommendations</t>
  </si>
  <si>
    <t xml:space="preserve">AI-POWERED ANALYSIS GUIDE</t>
  </si>
  <si>
    <t xml:space="preserve">Use Claude or ChatGPT to accelerate your analysis:</t>
  </si>
  <si>
    <t xml:space="preserve">Analysis Type</t>
  </si>
  <si>
    <t xml:space="preserve">Prompt Template</t>
  </si>
  <si>
    <t xml:space="preserve">Theme Extraction</t>
  </si>
  <si>
    <t xml:space="preserve">Copy all responses from Q1_Culture. Prompt: "Analyze these presales team culture descriptions. Identify 5-7 major themes with definitions and example quotes for each theme."</t>
  </si>
  <si>
    <t xml:space="preserve">Sentiment Analysis</t>
  </si>
  <si>
    <t xml:space="preserve">Copy responses. Prompt: "Analyze the sentiment (optimistic, anxious, frustrated, neutral) of these responses and quantify the distribution."</t>
  </si>
  <si>
    <t xml:space="preserve">Gap Identification</t>
  </si>
  <si>
    <t xml:space="preserve">Copy Q6 and Q7. Prompt: "Compare what people say they would use AI for vs. what they currently use. Identify the top 5 capability gaps."</t>
  </si>
  <si>
    <t xml:space="preserve">Priority Scoring</t>
  </si>
  <si>
    <t xml:space="preserve">Copy Q13 and Q14. Prompt: "Score these stop/start items on: frequency mentioned (1-5), potential impact (1-5), and implementation difficulty (1-5). Create a prioritized list."</t>
  </si>
  <si>
    <t xml:space="preserve">Consensus Detection</t>
  </si>
  <si>
    <t xml:space="preserve">Copy Q2 responses. Prompt: "Analyze these mission statements. Is there consensus (&gt;60% alignment) or fragmentation? If fragmented, what are the 2-3 competing visions?"</t>
  </si>
  <si>
    <t xml:space="preserve">Cross-Reference</t>
  </si>
  <si>
    <t xml:space="preserve">Copy Q11 and Q12. Prompt: "Compare unique human value statements with current challenges. Are people able to deliver that value today? What are the blockers?"</t>
  </si>
  <si>
    <t xml:space="preserve">ADVANCED ANALYSIS TECHNIQUES</t>
  </si>
  <si>
    <t xml:space="preserve">Word Frequency: Use Python/R to create word clouds from each question</t>
  </si>
  <si>
    <t xml:space="preserve">Sentiment Scoring: Use VADER or TextBlob for quantitative sentiment</t>
  </si>
  <si>
    <t xml:space="preserve">Topic Modeling: Use LDA (Latent Dirichlet Allocation) for unsupervised theme discovery</t>
  </si>
  <si>
    <t xml:space="preserve">Network Analysis: Map relationships between themes across questions</t>
  </si>
  <si>
    <t xml:space="preserve">Cohort Analysis: If you have demographic data, segment by tenure/role/region</t>
  </si>
  <si>
    <t xml:space="preserve">SAMPLE DATA FORMAT</t>
  </si>
  <si>
    <t xml:space="preserve">Your Menti.com export should look like this:</t>
  </si>
  <si>
    <t xml:space="preserve">R001</t>
  </si>
  <si>
    <t xml:space="preserve">Collaborative but sometimes reactive</t>
  </si>
  <si>
    <t xml:space="preserve">Become trusted advisors who drive business outcomes</t>
  </si>
  <si>
    <t xml:space="preserve">Solution Architects, Value Consultants</t>
  </si>
  <si>
    <t xml:space="preserve">Technical depth, Business acumen, Communication</t>
  </si>
  <si>
    <t xml:space="preserve">AI and data literacy</t>
  </si>
  <si>
    <t xml:space="preserve">Automate RFP responses and demo prep</t>
  </si>
  <si>
    <t xml:space="preserve">ChatGPT, GitHub Copilot</t>
  </si>
  <si>
    <t xml:space="preserve">Focus on ROI and business outcomes</t>
  </si>
  <si>
    <t xml:space="preserve">Customer satisfaction and time-to-value</t>
  </si>
  <si>
    <t xml:space="preserve">More strategic partnership with PM</t>
  </si>
  <si>
    <t xml:space="preserve">Building trust and understanding customer context</t>
  </si>
  <si>
    <t xml:space="preserve">Too many low-value meetings</t>
  </si>
  <si>
    <t xml:space="preserve">Stop manual status reporting</t>
  </si>
  <si>
    <t xml:space="preserve">Start AI training program</t>
  </si>
  <si>
    <t xml:space="preserve">R002</t>
  </si>
  <si>
    <t xml:space="preserve">Innovative team with strong technical skills</t>
  </si>
  <si>
    <t xml:space="preserve">Navigate complex integrations</t>
  </si>
  <si>
    <t xml:space="preserve">Technical Evangelists</t>
  </si>
  <si>
    <t xml:space="preserve">Adaptability, Industry knowledge</t>
  </si>
  <si>
    <t xml:space="preserve">Cloud architecture</t>
  </si>
  <si>
    <t xml:space="preserve">Generate technical documentation faster</t>
  </si>
  <si>
    <t xml:space="preserve">Claude, Notion AI</t>
  </si>
  <si>
    <t xml:space="preserve">Show real-world use cases</t>
  </si>
  <si>
    <t xml:space="preserve">Pipeline influence and win rate</t>
  </si>
  <si>
    <t xml:space="preserve">Earlier involvement in product roadmap</t>
  </si>
  <si>
    <t xml:space="preserve">Creative problem solving</t>
  </si>
  <si>
    <t xml:space="preserve">Limited access to good demo environments</t>
  </si>
  <si>
    <t xml:space="preserve">Stop doing work that should be automated</t>
  </si>
  <si>
    <t xml:space="preserve">Start regular customer success sharing</t>
  </si>
  <si>
    <t xml:space="preserve">R003</t>
  </si>
  <si>
    <t xml:space="preserve">Siloed across regions</t>
  </si>
  <si>
    <t xml:space="preserve">Educate market on emerging tech</t>
  </si>
  <si>
    <t xml:space="preserve">Industry Specialists</t>
  </si>
  <si>
    <t xml:space="preserve">Consultative approach, Storytelling</t>
  </si>
  <si>
    <t xml:space="preserve">Vertical market expertise</t>
  </si>
  <si>
    <t xml:space="preserve">Analyze customer data for patterns</t>
  </si>
  <si>
    <t xml:space="preserve">Perplexity, ChatGPT</t>
  </si>
  <si>
    <t xml:space="preserve">Demonstrate measurable business value</t>
  </si>
  <si>
    <t xml:space="preserve">Customer retention and expansion</t>
  </si>
  <si>
    <t xml:space="preserve">Better feedback loop with Marketing</t>
  </si>
  <si>
    <t xml:space="preserve">Strategic thinking and business consulting</t>
  </si>
  <si>
    <t xml:space="preserve">Duplicate data entry</t>
  </si>
  <si>
    <t xml:space="preserve">Stop reinventing demos</t>
  </si>
  <si>
    <t xml:space="preserve">Start building reusable asset library</t>
  </si>
  <si>
    <t xml:space="preserve">MAPPING INSTRUCTIONS</t>
  </si>
  <si>
    <t xml:space="preserve">1. If Menti columns are in different order, map them to match these headers</t>
  </si>
  <si>
    <t xml:space="preserve">2. If some questions had multiple response options, combine or split as needed</t>
  </si>
  <si>
    <t xml:space="preserve">3. For ranking questions (Q4), you may need to parse the ranking order</t>
  </si>
  <si>
    <t xml:space="preserve">4. Add Response IDs in Column A if Menti did not provide them</t>
  </si>
  <si>
    <t xml:space="preserve">5. Clean any obvious data issues (duplicates, blank rows, formatting)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</si>
</sst>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FF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993300"/>
      </patternFill>
    </fill>
    <fill>
      <patternFill patternType="solid">
        <fgColor rgb="FFD9E1F2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2"/>
      <c r="D3" s="2" t="s">
        <v>2</v>
      </c>
      <c r="E3" s="2"/>
      <c r="F3" s="2"/>
    </row>
    <row r="4" customFormat="false" ht="15" hidden="false" customHeight="false" outlineLevel="0" collapsed="false">
      <c r="A4" s="0" t="s">
        <v>3</v>
      </c>
      <c r="B4" s="0" t="n">
        <f aca="false">COUNTA(RawData!A2:A200)</f>
        <v>7</v>
      </c>
      <c r="D4" s="0" t="s">
        <v>4</v>
      </c>
      <c r="E4" s="3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D5" s="0" t="s">
        <v>8</v>
      </c>
      <c r="E5" s="3" t="s">
        <v>5</v>
      </c>
    </row>
    <row r="6" customFormat="false" ht="15" hidden="false" customHeight="false" outlineLevel="0" collapsed="false">
      <c r="A6" s="0" t="s">
        <v>9</v>
      </c>
      <c r="B6" s="0" t="s">
        <v>10</v>
      </c>
      <c r="D6" s="0" t="s">
        <v>11</v>
      </c>
      <c r="E6" s="3" t="s">
        <v>5</v>
      </c>
    </row>
    <row r="7" customFormat="false" ht="15" hidden="false" customHeight="false" outlineLevel="0" collapsed="false">
      <c r="D7" s="0" t="s">
        <v>12</v>
      </c>
      <c r="E7" s="3" t="s">
        <v>5</v>
      </c>
    </row>
    <row r="8" customFormat="false" ht="15" hidden="false" customHeight="false" outlineLevel="0" collapsed="false">
      <c r="D8" s="0" t="s">
        <v>13</v>
      </c>
      <c r="E8" s="3" t="s">
        <v>5</v>
      </c>
    </row>
    <row r="10" customFormat="false" ht="17.35" hidden="false" customHeight="false" outlineLevel="0" collapsed="false">
      <c r="A10" s="4" t="s">
        <v>14</v>
      </c>
      <c r="B10" s="4"/>
      <c r="C10" s="4"/>
      <c r="D10" s="4"/>
      <c r="E10" s="4"/>
      <c r="F10" s="4"/>
    </row>
    <row r="12" customFormat="false" ht="15" hidden="false" customHeight="false" outlineLevel="0" collapsed="false">
      <c r="A12" s="5" t="s">
        <v>15</v>
      </c>
      <c r="D12" s="5" t="s">
        <v>16</v>
      </c>
    </row>
    <row r="13" customFormat="false" ht="15" hidden="false" customHeight="false" outlineLevel="0" collapsed="false">
      <c r="A13" s="0" t="s">
        <v>17</v>
      </c>
      <c r="B13" s="0" t="n">
        <f aca="false">Q1_Culture!E3</f>
        <v>0</v>
      </c>
      <c r="D13" s="0" t="s">
        <v>18</v>
      </c>
      <c r="E13" s="0" t="n">
        <f aca="false">Q7_AI_Tools!E3</f>
        <v>0</v>
      </c>
    </row>
    <row r="14" customFormat="false" ht="15" hidden="false" customHeight="false" outlineLevel="0" collapsed="false">
      <c r="A14" s="0" t="s">
        <v>19</v>
      </c>
      <c r="B14" s="0" t="str">
        <f aca="false">Q1_Culture!E4</f>
        <v>Theme Code 3</v>
      </c>
      <c r="D14" s="0" t="s">
        <v>20</v>
      </c>
      <c r="E14" s="0" t="str">
        <f aca="false">Q7_AI_Tools!E4</f>
        <v>Theme Code 3</v>
      </c>
    </row>
    <row r="15" customFormat="false" ht="15" hidden="false" customHeight="false" outlineLevel="0" collapsed="false">
      <c r="A15" s="0" t="s">
        <v>21</v>
      </c>
      <c r="B15" s="0" t="n">
        <f aca="false">Q1_Culture!E5</f>
        <v>0</v>
      </c>
      <c r="D15" s="0" t="s">
        <v>22</v>
      </c>
      <c r="E15" s="0" t="n">
        <f aca="false">Q7_AI_Tools!E5</f>
        <v>0</v>
      </c>
    </row>
    <row r="17" customFormat="false" ht="15" hidden="false" customHeight="false" outlineLevel="0" collapsed="false">
      <c r="A17" s="5" t="s">
        <v>23</v>
      </c>
      <c r="B17" s="6" t="n">
        <f aca="false">Q2_Mission!E3</f>
        <v>0</v>
      </c>
      <c r="D17" s="5" t="s">
        <v>24</v>
      </c>
    </row>
    <row r="18" customFormat="false" ht="15" hidden="false" customHeight="false" outlineLevel="0" collapsed="false">
      <c r="D18" s="0" t="s">
        <v>17</v>
      </c>
      <c r="E18" s="0" t="n">
        <f aca="false">Q12_Challenges!E3</f>
        <v>0</v>
      </c>
    </row>
    <row r="19" customFormat="false" ht="15" hidden="false" customHeight="false" outlineLevel="0" collapsed="false">
      <c r="A19" s="5" t="s">
        <v>25</v>
      </c>
      <c r="B19" s="6" t="n">
        <f aca="false">Q4_Rankings!B3</f>
        <v>0</v>
      </c>
      <c r="D19" s="6" t="s">
        <v>19</v>
      </c>
      <c r="E19" s="0" t="str">
        <f aca="false">Q12_Challenges!E4</f>
        <v>Theme Code 3</v>
      </c>
    </row>
    <row r="20" customFormat="false" ht="15" hidden="false" customHeight="false" outlineLevel="0" collapsed="false">
      <c r="D20" s="0" t="s">
        <v>21</v>
      </c>
      <c r="E20" s="0" t="n">
        <f aca="false">Q12_Challenges!E5</f>
        <v>0</v>
      </c>
    </row>
    <row r="21" customFormat="false" ht="15" hidden="false" customHeight="false" outlineLevel="0" collapsed="false">
      <c r="A21" s="5" t="s">
        <v>26</v>
      </c>
      <c r="B21" s="6" t="n">
        <f aca="false">Q6_AI_Usage!E3</f>
        <v>0</v>
      </c>
    </row>
    <row r="23" customFormat="false" ht="17.35" hidden="false" customHeight="false" outlineLevel="0" collapsed="false">
      <c r="A23" s="7" t="s">
        <v>27</v>
      </c>
      <c r="B23" s="7"/>
      <c r="C23" s="7"/>
      <c r="D23" s="7"/>
      <c r="E23" s="7"/>
      <c r="F23" s="7"/>
    </row>
    <row r="24" customFormat="false" ht="15" hidden="false" customHeight="true" outlineLevel="0" collapsed="false">
      <c r="A24" s="8" t="s">
        <v>28</v>
      </c>
      <c r="B24" s="8"/>
      <c r="C24" s="8"/>
      <c r="D24" s="8"/>
      <c r="E24" s="8"/>
      <c r="F24" s="8"/>
    </row>
  </sheetData>
  <mergeCells count="6">
    <mergeCell ref="A1:F1"/>
    <mergeCell ref="A3:B3"/>
    <mergeCell ref="D3:F3"/>
    <mergeCell ref="A10:F10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5"/>
  </cols>
  <sheetData>
    <row r="1" customFormat="false" ht="17.35" hidden="false" customHeight="false" outlineLevel="0" collapsed="false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  <c r="N2" s="9" t="s">
        <v>43</v>
      </c>
      <c r="O2" s="9" t="s">
        <v>44</v>
      </c>
    </row>
    <row r="3" customFormat="false" ht="15" hidden="false" customHeight="false" outlineLevel="0" collapsed="false">
      <c r="A3" s="10" t="s">
        <v>45</v>
      </c>
    </row>
    <row r="4" customFormat="false" ht="15" hidden="false" customHeight="false" outlineLevel="0" collapsed="false">
      <c r="A4" s="0" t="s">
        <v>46</v>
      </c>
    </row>
    <row r="5" customFormat="false" ht="15" hidden="false" customHeight="false" outlineLevel="0" collapsed="false">
      <c r="A5" s="0" t="s">
        <v>47</v>
      </c>
    </row>
    <row r="6" customFormat="false" ht="15" hidden="false" customHeight="false" outlineLevel="0" collapsed="false">
      <c r="A6" s="0" t="s">
        <v>48</v>
      </c>
    </row>
    <row r="7" customFormat="false" ht="15" hidden="false" customHeight="false" outlineLevel="0" collapsed="false">
      <c r="A7" s="0" t="s">
        <v>49</v>
      </c>
    </row>
    <row r="8" customFormat="false" ht="15" hidden="false" customHeight="false" outlineLevel="0" collapsed="false">
      <c r="A8" s="0" t="s">
        <v>50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11" t="s">
        <v>51</v>
      </c>
      <c r="B1" s="11"/>
      <c r="C1" s="11"/>
      <c r="D1" s="11"/>
      <c r="E1" s="11"/>
    </row>
    <row r="3" customFormat="false" ht="15" hidden="false" customHeight="false" outlineLevel="0" collapsed="false">
      <c r="A3" s="12" t="s">
        <v>52</v>
      </c>
      <c r="B3" s="12"/>
      <c r="C3" s="12"/>
      <c r="D3" s="12"/>
      <c r="E3" s="12"/>
    </row>
    <row r="4" customFormat="false" ht="41.75" hidden="false" customHeight="false" outlineLevel="0" collapsed="false">
      <c r="A4" s="13" t="s">
        <v>53</v>
      </c>
    </row>
    <row r="5" customFormat="false" ht="55.2" hidden="false" customHeight="false" outlineLevel="0" collapsed="false">
      <c r="A5" s="13" t="s">
        <v>54</v>
      </c>
    </row>
    <row r="6" customFormat="false" ht="55.2" hidden="false" customHeight="false" outlineLevel="0" collapsed="false">
      <c r="A6" s="13" t="s">
        <v>55</v>
      </c>
    </row>
    <row r="7" customFormat="false" ht="41.75" hidden="false" customHeight="false" outlineLevel="0" collapsed="false">
      <c r="A7" s="13" t="s">
        <v>56</v>
      </c>
    </row>
    <row r="8" customFormat="false" ht="55.2" hidden="false" customHeight="false" outlineLevel="0" collapsed="false">
      <c r="A8" s="13" t="s">
        <v>57</v>
      </c>
    </row>
    <row r="9" customFormat="false" ht="55.2" hidden="false" customHeight="false" outlineLevel="0" collapsed="false">
      <c r="A9" s="13" t="s">
        <v>58</v>
      </c>
    </row>
    <row r="10" customFormat="false" ht="55.2" hidden="false" customHeight="false" outlineLevel="0" collapsed="false">
      <c r="A10" s="13" t="s">
        <v>59</v>
      </c>
    </row>
    <row r="12" customFormat="false" ht="15" hidden="false" customHeight="false" outlineLevel="0" collapsed="false">
      <c r="A12" s="14" t="s">
        <v>60</v>
      </c>
      <c r="B12" s="14"/>
      <c r="C12" s="14"/>
      <c r="D12" s="14"/>
      <c r="E12" s="14"/>
    </row>
    <row r="14" customFormat="false" ht="28.35" hidden="false" customHeight="false" outlineLevel="0" collapsed="false">
      <c r="A14" s="9" t="s">
        <v>61</v>
      </c>
      <c r="B14" s="9" t="s">
        <v>62</v>
      </c>
      <c r="C14" s="9" t="s">
        <v>63</v>
      </c>
      <c r="D14" s="9" t="s">
        <v>64</v>
      </c>
      <c r="E14" s="9" t="s">
        <v>65</v>
      </c>
    </row>
    <row r="15" customFormat="false" ht="28.35" hidden="false" customHeight="false" outlineLevel="0" collapsed="false">
      <c r="A15" s="0" t="s">
        <v>66</v>
      </c>
      <c r="B15" s="0" t="s">
        <v>67</v>
      </c>
      <c r="C15" s="0" t="s">
        <v>68</v>
      </c>
      <c r="D15" s="13" t="s">
        <v>69</v>
      </c>
      <c r="E15" s="6" t="s">
        <v>70</v>
      </c>
    </row>
    <row r="16" customFormat="false" ht="28.35" hidden="false" customHeight="false" outlineLevel="0" collapsed="false">
      <c r="A16" s="0" t="s">
        <v>66</v>
      </c>
      <c r="B16" s="0" t="s">
        <v>71</v>
      </c>
      <c r="C16" s="0" t="s">
        <v>72</v>
      </c>
      <c r="D16" s="13" t="s">
        <v>73</v>
      </c>
      <c r="E16" s="6" t="s">
        <v>74</v>
      </c>
    </row>
    <row r="17" customFormat="false" ht="28.35" hidden="false" customHeight="false" outlineLevel="0" collapsed="false">
      <c r="A17" s="0" t="s">
        <v>66</v>
      </c>
      <c r="B17" s="0" t="s">
        <v>75</v>
      </c>
      <c r="C17" s="0" t="s">
        <v>76</v>
      </c>
      <c r="D17" s="13" t="s">
        <v>77</v>
      </c>
      <c r="E17" s="6" t="s">
        <v>78</v>
      </c>
    </row>
    <row r="18" customFormat="false" ht="28.35" hidden="false" customHeight="false" outlineLevel="0" collapsed="false">
      <c r="A18" s="0" t="s">
        <v>66</v>
      </c>
      <c r="B18" s="0" t="s">
        <v>79</v>
      </c>
      <c r="C18" s="0" t="s">
        <v>80</v>
      </c>
      <c r="D18" s="13" t="s">
        <v>81</v>
      </c>
      <c r="E18" s="6" t="s">
        <v>82</v>
      </c>
    </row>
    <row r="19" customFormat="false" ht="28.35" hidden="false" customHeight="false" outlineLevel="0" collapsed="false">
      <c r="A19" s="0" t="s">
        <v>83</v>
      </c>
      <c r="B19" s="0" t="s">
        <v>84</v>
      </c>
      <c r="C19" s="0" t="s">
        <v>85</v>
      </c>
      <c r="D19" s="13" t="s">
        <v>86</v>
      </c>
      <c r="E19" s="6" t="s">
        <v>87</v>
      </c>
    </row>
    <row r="20" customFormat="false" ht="28.35" hidden="false" customHeight="false" outlineLevel="0" collapsed="false">
      <c r="A20" s="0" t="s">
        <v>83</v>
      </c>
      <c r="B20" s="0" t="s">
        <v>88</v>
      </c>
      <c r="C20" s="0" t="s">
        <v>89</v>
      </c>
      <c r="D20" s="13" t="s">
        <v>90</v>
      </c>
      <c r="E20" s="6" t="s">
        <v>91</v>
      </c>
    </row>
    <row r="21" customFormat="false" ht="15" hidden="false" customHeight="false" outlineLevel="0" collapsed="false">
      <c r="A21" s="0" t="s">
        <v>83</v>
      </c>
      <c r="B21" s="0" t="s">
        <v>92</v>
      </c>
      <c r="C21" s="0" t="s">
        <v>93</v>
      </c>
      <c r="D21" s="13" t="s">
        <v>94</v>
      </c>
      <c r="E21" s="6" t="s">
        <v>95</v>
      </c>
    </row>
    <row r="22" customFormat="false" ht="15" hidden="false" customHeight="false" outlineLevel="0" collapsed="false">
      <c r="A22" s="0" t="s">
        <v>96</v>
      </c>
      <c r="B22" s="0" t="s">
        <v>97</v>
      </c>
      <c r="C22" s="0" t="s">
        <v>98</v>
      </c>
      <c r="D22" s="13" t="s">
        <v>99</v>
      </c>
      <c r="E22" s="6" t="s">
        <v>100</v>
      </c>
    </row>
    <row r="23" customFormat="false" ht="15" hidden="false" customHeight="false" outlineLevel="0" collapsed="false">
      <c r="A23" s="0" t="s">
        <v>96</v>
      </c>
      <c r="B23" s="0" t="s">
        <v>101</v>
      </c>
      <c r="C23" s="0" t="s">
        <v>102</v>
      </c>
      <c r="D23" s="13" t="s">
        <v>103</v>
      </c>
      <c r="E23" s="6" t="s">
        <v>104</v>
      </c>
    </row>
    <row r="24" customFormat="false" ht="15" hidden="false" customHeight="false" outlineLevel="0" collapsed="false">
      <c r="A24" s="0" t="s">
        <v>96</v>
      </c>
      <c r="B24" s="0" t="s">
        <v>105</v>
      </c>
      <c r="C24" s="0" t="s">
        <v>106</v>
      </c>
      <c r="D24" s="13" t="s">
        <v>107</v>
      </c>
      <c r="E24" s="6" t="s">
        <v>108</v>
      </c>
    </row>
    <row r="25" customFormat="false" ht="15" hidden="false" customHeight="false" outlineLevel="0" collapsed="false">
      <c r="A25" s="0" t="s">
        <v>109</v>
      </c>
      <c r="B25" s="0" t="s">
        <v>110</v>
      </c>
      <c r="C25" s="0" t="s">
        <v>111</v>
      </c>
      <c r="D25" s="13" t="s">
        <v>112</v>
      </c>
      <c r="E25" s="6" t="s">
        <v>113</v>
      </c>
    </row>
    <row r="26" customFormat="false" ht="15" hidden="false" customHeight="false" outlineLevel="0" collapsed="false">
      <c r="A26" s="0" t="s">
        <v>109</v>
      </c>
      <c r="B26" s="0" t="s">
        <v>114</v>
      </c>
      <c r="C26" s="0" t="s">
        <v>115</v>
      </c>
      <c r="D26" s="13" t="s">
        <v>116</v>
      </c>
      <c r="E26" s="6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s">
        <v>120</v>
      </c>
      <c r="D27" s="13" t="s">
        <v>121</v>
      </c>
      <c r="E27" s="6" t="s">
        <v>122</v>
      </c>
    </row>
    <row r="28" customFormat="false" ht="15" hidden="false" customHeight="false" outlineLevel="0" collapsed="false">
      <c r="A28" s="0" t="s">
        <v>118</v>
      </c>
      <c r="B28" s="0" t="s">
        <v>123</v>
      </c>
      <c r="C28" s="0" t="s">
        <v>124</v>
      </c>
      <c r="D28" s="13" t="s">
        <v>125</v>
      </c>
      <c r="E28" s="6" t="s">
        <v>126</v>
      </c>
    </row>
    <row r="29" customFormat="false" ht="15" hidden="false" customHeight="false" outlineLevel="0" collapsed="false">
      <c r="A29" s="0" t="s">
        <v>118</v>
      </c>
      <c r="B29" s="0" t="s">
        <v>127</v>
      </c>
      <c r="C29" s="0" t="s">
        <v>128</v>
      </c>
      <c r="D29" s="13" t="s">
        <v>129</v>
      </c>
      <c r="E29" s="6" t="s">
        <v>130</v>
      </c>
    </row>
  </sheetData>
  <mergeCells count="3">
    <mergeCell ref="A1:E1"/>
    <mergeCell ref="A3:E3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131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132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143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144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145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146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147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148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96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149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150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151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152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153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154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155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156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157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109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158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118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159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160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161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1" t="s">
        <v>162</v>
      </c>
      <c r="B1" s="11"/>
      <c r="C1" s="11"/>
      <c r="D1" s="11"/>
      <c r="E1" s="11"/>
    </row>
    <row r="2" customFormat="false" ht="30" hidden="false" customHeight="true" outlineLevel="0" collapsed="false">
      <c r="A2" s="8" t="s">
        <v>163</v>
      </c>
      <c r="B2" s="8"/>
      <c r="C2" s="8"/>
      <c r="D2" s="8"/>
      <c r="E2" s="8"/>
    </row>
    <row r="4" customFormat="false" ht="17.35" hidden="false" customHeight="false" outlineLevel="0" collapsed="false">
      <c r="A4" s="15" t="s">
        <v>30</v>
      </c>
      <c r="B4" s="15" t="s">
        <v>133</v>
      </c>
      <c r="C4" s="15" t="s">
        <v>134</v>
      </c>
      <c r="D4" s="15" t="s">
        <v>135</v>
      </c>
      <c r="E4" s="15" t="s">
        <v>136</v>
      </c>
      <c r="G4" s="4" t="s">
        <v>137</v>
      </c>
      <c r="H4" s="4"/>
      <c r="I4" s="4"/>
    </row>
    <row r="5" customFormat="false" ht="15" hidden="false" customHeight="false" outlineLevel="0" collapsed="false">
      <c r="G5" s="15" t="s">
        <v>62</v>
      </c>
      <c r="H5" s="15" t="s">
        <v>138</v>
      </c>
      <c r="I5" s="15" t="s">
        <v>139</v>
      </c>
    </row>
    <row r="20" customFormat="false" ht="17.35" hidden="false" customHeight="false" outlineLevel="0" collapsed="false">
      <c r="G20" s="4" t="s">
        <v>140</v>
      </c>
      <c r="H20" s="4"/>
      <c r="I20" s="4"/>
    </row>
    <row r="21" customFormat="false" ht="15" hidden="false" customHeight="false" outlineLevel="0" collapsed="false">
      <c r="G21" s="16" t="s">
        <v>141</v>
      </c>
      <c r="H21" s="16" t="s">
        <v>30</v>
      </c>
      <c r="I21" s="16" t="s">
        <v>142</v>
      </c>
    </row>
  </sheetData>
  <mergeCells count="4">
    <mergeCell ref="A1:E1"/>
    <mergeCell ref="A2:E2"/>
    <mergeCell ref="G4:I4"/>
    <mergeCell ref="G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11" t="s">
        <v>164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8" t="s">
        <v>165</v>
      </c>
      <c r="B2" s="8"/>
      <c r="C2" s="8"/>
      <c r="D2" s="8"/>
      <c r="E2" s="8"/>
      <c r="F2" s="8"/>
    </row>
    <row r="4" customFormat="false" ht="17.35" hidden="false" customHeight="false" outlineLevel="0" collapsed="false">
      <c r="A4" s="4" t="s">
        <v>166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</row>
    <row r="6" customFormat="false" ht="28.35" hidden="false" customHeight="false" outlineLevel="0" collapsed="false">
      <c r="A6" s="13" t="s">
        <v>173</v>
      </c>
      <c r="B6" s="0" t="n">
        <v>0</v>
      </c>
      <c r="C6" s="0" t="n">
        <v>0</v>
      </c>
      <c r="D6" s="0" t="n">
        <v>0</v>
      </c>
      <c r="E6" s="6" t="n">
        <f aca="false">B6*5+C6*4+D6*3</f>
        <v>0</v>
      </c>
    </row>
    <row r="7" customFormat="false" ht="28.35" hidden="false" customHeight="false" outlineLevel="0" collapsed="false">
      <c r="A7" s="13" t="s">
        <v>174</v>
      </c>
      <c r="B7" s="0" t="n">
        <v>0</v>
      </c>
      <c r="C7" s="0" t="n">
        <v>0</v>
      </c>
      <c r="D7" s="0" t="n">
        <v>0</v>
      </c>
      <c r="E7" s="6" t="n">
        <f aca="false">B7*5+C7*4+D7*3</f>
        <v>0</v>
      </c>
    </row>
    <row r="8" customFormat="false" ht="41.75" hidden="false" customHeight="false" outlineLevel="0" collapsed="false">
      <c r="A8" s="13" t="s">
        <v>175</v>
      </c>
      <c r="B8" s="0" t="n">
        <v>0</v>
      </c>
      <c r="C8" s="0" t="n">
        <v>0</v>
      </c>
      <c r="D8" s="0" t="n">
        <v>0</v>
      </c>
      <c r="E8" s="6" t="n">
        <f aca="false">B8*5+C8*4+D8*3</f>
        <v>0</v>
      </c>
    </row>
    <row r="9" customFormat="false" ht="28.35" hidden="false" customHeight="false" outlineLevel="0" collapsed="false">
      <c r="A9" s="13" t="s">
        <v>176</v>
      </c>
      <c r="B9" s="0" t="n">
        <v>0</v>
      </c>
      <c r="C9" s="0" t="n">
        <v>0</v>
      </c>
      <c r="D9" s="0" t="n">
        <v>0</v>
      </c>
      <c r="E9" s="6" t="n">
        <f aca="false">B9*5+C9*4+D9*3</f>
        <v>0</v>
      </c>
    </row>
    <row r="10" customFormat="false" ht="28.35" hidden="false" customHeight="false" outlineLevel="0" collapsed="false">
      <c r="A10" s="13" t="s">
        <v>177</v>
      </c>
      <c r="B10" s="0" t="n">
        <v>0</v>
      </c>
      <c r="C10" s="0" t="n">
        <v>0</v>
      </c>
      <c r="D10" s="0" t="n">
        <v>0</v>
      </c>
      <c r="E10" s="6" t="n">
        <f aca="false">B10*5+C10*4+D10*3</f>
        <v>0</v>
      </c>
    </row>
    <row r="11" customFormat="false" ht="28.35" hidden="false" customHeight="false" outlineLevel="0" collapsed="false">
      <c r="A11" s="13" t="s">
        <v>178</v>
      </c>
      <c r="B11" s="0" t="n">
        <v>0</v>
      </c>
      <c r="C11" s="0" t="n">
        <v>0</v>
      </c>
      <c r="D11" s="0" t="n">
        <v>0</v>
      </c>
      <c r="E11" s="6" t="n">
        <f aca="false">B11*5+C11*4+D11*3</f>
        <v>0</v>
      </c>
    </row>
    <row r="12" customFormat="false" ht="28.35" hidden="false" customHeight="false" outlineLevel="0" collapsed="false">
      <c r="A12" s="13" t="s">
        <v>179</v>
      </c>
      <c r="B12" s="0" t="n">
        <v>0</v>
      </c>
      <c r="C12" s="0" t="n">
        <v>0</v>
      </c>
      <c r="D12" s="0" t="n">
        <v>0</v>
      </c>
      <c r="E12" s="6" t="n">
        <f aca="false">B12*5+C12*4+D12*3</f>
        <v>0</v>
      </c>
    </row>
    <row r="13" customFormat="false" ht="28.35" hidden="false" customHeight="false" outlineLevel="0" collapsed="false">
      <c r="A13" s="13" t="s">
        <v>180</v>
      </c>
      <c r="B13" s="0" t="n">
        <v>0</v>
      </c>
      <c r="C13" s="0" t="n">
        <v>0</v>
      </c>
      <c r="D13" s="0" t="n">
        <v>0</v>
      </c>
      <c r="E13" s="6" t="n">
        <f aca="false">B13*5+C13*4+D13*3</f>
        <v>0</v>
      </c>
    </row>
    <row r="15" customFormat="false" ht="15" hidden="false" customHeight="false" outlineLevel="0" collapsed="false">
      <c r="A15" s="10" t="s">
        <v>45</v>
      </c>
    </row>
    <row r="16" customFormat="false" ht="15" hidden="false" customHeight="false" outlineLevel="0" collapsed="false">
      <c r="A16" s="0" t="s">
        <v>181</v>
      </c>
    </row>
    <row r="17" customFormat="false" ht="15" hidden="false" customHeight="false" outlineLevel="0" collapsed="false">
      <c r="A17" s="0" t="s">
        <v>182</v>
      </c>
    </row>
    <row r="18" customFormat="false" ht="15" hidden="false" customHeight="false" outlineLevel="0" collapsed="false">
      <c r="A18" s="0" t="s">
        <v>183</v>
      </c>
    </row>
    <row r="19" customFormat="false" ht="15" hidden="false" customHeight="false" outlineLevel="0" collapsed="false">
      <c r="A19" s="0" t="s">
        <v>184</v>
      </c>
    </row>
    <row r="20" customFormat="false" ht="15" hidden="false" customHeight="false" outlineLevel="0" collapsed="false">
      <c r="A20" s="0" t="s">
        <v>185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7" t="s">
        <v>186</v>
      </c>
      <c r="B1" s="7"/>
      <c r="C1" s="7"/>
      <c r="D1" s="7"/>
      <c r="E1" s="7"/>
      <c r="F1" s="7"/>
      <c r="G1" s="7"/>
    </row>
    <row r="3" customFormat="false" ht="15" hidden="false" customHeight="false" outlineLevel="0" collapsed="false">
      <c r="A3" s="17" t="s">
        <v>187</v>
      </c>
      <c r="B3" s="17"/>
      <c r="C3" s="17"/>
      <c r="D3" s="17"/>
      <c r="E3" s="17"/>
      <c r="F3" s="17"/>
      <c r="G3" s="17"/>
    </row>
    <row r="5" customFormat="false" ht="15" hidden="false" customHeight="false" outlineLevel="0" collapsed="false">
      <c r="A5" s="18" t="s">
        <v>188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19" t="s">
        <v>189</v>
      </c>
      <c r="B6" s="19" t="s">
        <v>190</v>
      </c>
      <c r="C6" s="19" t="s">
        <v>191</v>
      </c>
      <c r="D6" s="19" t="s">
        <v>192</v>
      </c>
      <c r="E6" s="19" t="s">
        <v>193</v>
      </c>
      <c r="F6" s="19" t="s">
        <v>194</v>
      </c>
      <c r="G6" s="19" t="s">
        <v>195</v>
      </c>
    </row>
    <row r="7" customFormat="false" ht="15" hidden="false" customHeight="false" outlineLevel="0" collapsed="false">
      <c r="A7" s="0" t="s">
        <v>196</v>
      </c>
      <c r="C7" s="0" t="s">
        <v>197</v>
      </c>
      <c r="D7" s="0" t="s">
        <v>198</v>
      </c>
      <c r="E7" s="0" t="s">
        <v>199</v>
      </c>
      <c r="F7" s="0" t="s">
        <v>200</v>
      </c>
      <c r="G7" s="0" t="s">
        <v>201</v>
      </c>
    </row>
    <row r="8" customFormat="false" ht="15" hidden="false" customHeight="false" outlineLevel="0" collapsed="false">
      <c r="A8" s="0" t="s">
        <v>202</v>
      </c>
      <c r="C8" s="0" t="s">
        <v>197</v>
      </c>
      <c r="D8" s="0" t="s">
        <v>203</v>
      </c>
      <c r="E8" s="0" t="s">
        <v>199</v>
      </c>
      <c r="F8" s="0" t="s">
        <v>204</v>
      </c>
      <c r="G8" s="0" t="s">
        <v>205</v>
      </c>
    </row>
    <row r="9" customFormat="false" ht="15" hidden="false" customHeight="false" outlineLevel="0" collapsed="false">
      <c r="A9" s="0" t="s">
        <v>206</v>
      </c>
      <c r="C9" s="0" t="s">
        <v>203</v>
      </c>
      <c r="D9" s="0" t="s">
        <v>203</v>
      </c>
      <c r="E9" s="0" t="s">
        <v>207</v>
      </c>
      <c r="F9" s="0" t="s">
        <v>208</v>
      </c>
      <c r="G9" s="0" t="s">
        <v>209</v>
      </c>
    </row>
    <row r="10" customFormat="false" ht="15" hidden="false" customHeight="false" outlineLevel="0" collapsed="false">
      <c r="A10" s="0" t="s">
        <v>210</v>
      </c>
      <c r="C10" s="0" t="s">
        <v>203</v>
      </c>
      <c r="D10" s="0" t="s">
        <v>198</v>
      </c>
      <c r="E10" s="0" t="s">
        <v>207</v>
      </c>
      <c r="F10" s="0" t="s">
        <v>211</v>
      </c>
      <c r="G10" s="0" t="s">
        <v>212</v>
      </c>
    </row>
    <row r="13" customFormat="false" ht="15" hidden="false" customHeight="false" outlineLevel="0" collapsed="false">
      <c r="A13" s="20" t="s">
        <v>213</v>
      </c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19" t="s">
        <v>189</v>
      </c>
      <c r="B14" s="19" t="s">
        <v>190</v>
      </c>
      <c r="C14" s="19" t="s">
        <v>191</v>
      </c>
      <c r="D14" s="19" t="s">
        <v>192</v>
      </c>
      <c r="E14" s="19" t="s">
        <v>193</v>
      </c>
      <c r="F14" s="19" t="s">
        <v>194</v>
      </c>
      <c r="G14" s="19" t="s">
        <v>195</v>
      </c>
    </row>
    <row r="15" customFormat="false" ht="15" hidden="false" customHeight="false" outlineLevel="0" collapsed="false">
      <c r="A15" s="0" t="s">
        <v>214</v>
      </c>
      <c r="C15" s="0" t="s">
        <v>197</v>
      </c>
      <c r="D15" s="0" t="s">
        <v>198</v>
      </c>
      <c r="E15" s="0" t="s">
        <v>199</v>
      </c>
      <c r="F15" s="0" t="s">
        <v>215</v>
      </c>
      <c r="G15" s="0" t="s">
        <v>201</v>
      </c>
    </row>
    <row r="16" customFormat="false" ht="15" hidden="false" customHeight="false" outlineLevel="0" collapsed="false">
      <c r="A16" s="0" t="s">
        <v>216</v>
      </c>
      <c r="C16" s="0" t="s">
        <v>197</v>
      </c>
      <c r="D16" s="0" t="s">
        <v>203</v>
      </c>
      <c r="E16" s="0" t="s">
        <v>199</v>
      </c>
      <c r="F16" s="0" t="s">
        <v>217</v>
      </c>
      <c r="G16" s="0" t="s">
        <v>209</v>
      </c>
    </row>
    <row r="17" customFormat="false" ht="15" hidden="false" customHeight="false" outlineLevel="0" collapsed="false">
      <c r="A17" s="0" t="s">
        <v>218</v>
      </c>
      <c r="C17" s="0" t="s">
        <v>203</v>
      </c>
      <c r="D17" s="0" t="s">
        <v>198</v>
      </c>
      <c r="E17" s="0" t="s">
        <v>207</v>
      </c>
      <c r="F17" s="0" t="s">
        <v>219</v>
      </c>
      <c r="G17" s="0" t="s">
        <v>205</v>
      </c>
    </row>
    <row r="18" customFormat="false" ht="15" hidden="false" customHeight="false" outlineLevel="0" collapsed="false">
      <c r="A18" s="0" t="s">
        <v>220</v>
      </c>
      <c r="C18" s="0" t="s">
        <v>197</v>
      </c>
      <c r="D18" s="0" t="s">
        <v>197</v>
      </c>
      <c r="E18" s="0" t="s">
        <v>207</v>
      </c>
      <c r="F18" s="0" t="s">
        <v>221</v>
      </c>
      <c r="G18" s="0" t="s">
        <v>222</v>
      </c>
    </row>
    <row r="21" customFormat="false" ht="17.35" hidden="false" customHeight="false" outlineLevel="0" collapsed="false">
      <c r="A21" s="4" t="s">
        <v>223</v>
      </c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A22" s="8" t="s">
        <v>224</v>
      </c>
      <c r="B22" s="8"/>
      <c r="C22" s="8"/>
      <c r="D22" s="8"/>
      <c r="E22" s="8"/>
      <c r="F22" s="8"/>
      <c r="G22" s="8"/>
    </row>
    <row r="23" customFormat="false" ht="15" hidden="false" customHeight="true" outlineLevel="0" collapsed="false">
      <c r="A23" s="8" t="s">
        <v>225</v>
      </c>
      <c r="B23" s="8"/>
      <c r="C23" s="8"/>
      <c r="D23" s="8"/>
      <c r="E23" s="8"/>
      <c r="F23" s="8"/>
      <c r="G23" s="8"/>
    </row>
    <row r="24" customFormat="false" ht="15" hidden="false" customHeight="true" outlineLevel="0" collapsed="false">
      <c r="A24" s="8" t="s">
        <v>226</v>
      </c>
      <c r="B24" s="8"/>
      <c r="C24" s="8"/>
      <c r="D24" s="8"/>
      <c r="E24" s="8"/>
      <c r="F24" s="8"/>
      <c r="G24" s="8"/>
    </row>
    <row r="25" customFormat="false" ht="15" hidden="false" customHeight="true" outlineLevel="0" collapsed="false">
      <c r="A25" s="8" t="s">
        <v>227</v>
      </c>
      <c r="B25" s="8"/>
      <c r="C25" s="8"/>
      <c r="D25" s="8"/>
      <c r="E25" s="8"/>
      <c r="F25" s="8"/>
      <c r="G25" s="8"/>
    </row>
    <row r="26" customFormat="false" ht="15" hidden="false" customHeight="true" outlineLevel="0" collapsed="false">
      <c r="A26" s="8" t="s">
        <v>228</v>
      </c>
      <c r="B26" s="8"/>
      <c r="C26" s="8"/>
      <c r="D26" s="8"/>
      <c r="E26" s="8"/>
      <c r="F26" s="8"/>
      <c r="G26" s="8"/>
    </row>
    <row r="27" customFormat="false" ht="15" hidden="false" customHeight="true" outlineLevel="0" collapsed="false">
      <c r="A27" s="8" t="s">
        <v>229</v>
      </c>
      <c r="B27" s="8"/>
      <c r="C27" s="8"/>
      <c r="D27" s="8"/>
      <c r="E27" s="8"/>
      <c r="F27" s="8"/>
      <c r="G27" s="8"/>
    </row>
  </sheetData>
  <mergeCells count="11">
    <mergeCell ref="A1:G1"/>
    <mergeCell ref="A3:G3"/>
    <mergeCell ref="A5:G5"/>
    <mergeCell ref="A13:G13"/>
    <mergeCell ref="A21:G21"/>
    <mergeCell ref="A22:G22"/>
    <mergeCell ref="A23:G23"/>
    <mergeCell ref="A24:G24"/>
    <mergeCell ref="A25:G25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6" min="3" style="0" width="18"/>
  </cols>
  <sheetData>
    <row r="1" customFormat="false" ht="30" hidden="false" customHeight="true" outlineLevel="0" collapsed="false">
      <c r="A1" s="21" t="s">
        <v>230</v>
      </c>
      <c r="B1" s="21"/>
      <c r="C1" s="21"/>
      <c r="D1" s="21"/>
      <c r="E1" s="21"/>
      <c r="F1" s="21"/>
    </row>
    <row r="3" customFormat="false" ht="17.35" hidden="false" customHeight="false" outlineLevel="0" collapsed="false">
      <c r="A3" s="22" t="s">
        <v>231</v>
      </c>
      <c r="B3" s="22"/>
      <c r="C3" s="22"/>
      <c r="D3" s="22"/>
      <c r="E3" s="22"/>
      <c r="F3" s="22"/>
    </row>
    <row r="5" customFormat="false" ht="15" hidden="false" customHeight="false" outlineLevel="0" collapsed="false">
      <c r="A5" s="23" t="s">
        <v>232</v>
      </c>
      <c r="B5" s="23"/>
      <c r="C5" s="23"/>
      <c r="D5" s="23"/>
      <c r="E5" s="23"/>
      <c r="F5" s="23"/>
    </row>
    <row r="6" customFormat="false" ht="15" hidden="false" customHeight="true" outlineLevel="0" collapsed="false">
      <c r="A6" s="0" t="s">
        <v>233</v>
      </c>
      <c r="B6" s="8" t="s">
        <v>234</v>
      </c>
      <c r="C6" s="8"/>
      <c r="D6" s="8"/>
      <c r="E6" s="8"/>
      <c r="F6" s="8"/>
    </row>
    <row r="8" customFormat="false" ht="15" hidden="false" customHeight="true" outlineLevel="0" collapsed="false">
      <c r="A8" s="0" t="s">
        <v>235</v>
      </c>
      <c r="B8" s="8" t="s">
        <v>236</v>
      </c>
      <c r="C8" s="8"/>
      <c r="D8" s="8"/>
      <c r="E8" s="8"/>
      <c r="F8" s="8"/>
    </row>
    <row r="10" customFormat="false" ht="15" hidden="false" customHeight="true" outlineLevel="0" collapsed="false">
      <c r="A10" s="0" t="s">
        <v>237</v>
      </c>
      <c r="B10" s="8" t="s">
        <v>238</v>
      </c>
      <c r="C10" s="8"/>
      <c r="D10" s="8"/>
      <c r="E10" s="8"/>
      <c r="F10" s="8"/>
    </row>
    <row r="13" customFormat="false" ht="15" hidden="false" customHeight="false" outlineLevel="0" collapsed="false">
      <c r="A13" s="23" t="s">
        <v>239</v>
      </c>
      <c r="B13" s="23"/>
      <c r="C13" s="23"/>
      <c r="D13" s="23"/>
      <c r="E13" s="23"/>
      <c r="F13" s="23"/>
    </row>
    <row r="14" customFormat="false" ht="15" hidden="false" customHeight="true" outlineLevel="0" collapsed="false">
      <c r="A14" s="0" t="s">
        <v>240</v>
      </c>
      <c r="B14" s="8" t="s">
        <v>241</v>
      </c>
      <c r="C14" s="8"/>
      <c r="D14" s="8"/>
      <c r="E14" s="8"/>
      <c r="F14" s="8"/>
    </row>
    <row r="16" customFormat="false" ht="15" hidden="false" customHeight="true" outlineLevel="0" collapsed="false">
      <c r="A16" s="0" t="s">
        <v>242</v>
      </c>
      <c r="B16" s="8" t="s">
        <v>243</v>
      </c>
      <c r="C16" s="8"/>
      <c r="D16" s="8"/>
      <c r="E16" s="8"/>
      <c r="F16" s="8"/>
    </row>
    <row r="18" customFormat="false" ht="15" hidden="false" customHeight="true" outlineLevel="0" collapsed="false">
      <c r="A18" s="0" t="s">
        <v>244</v>
      </c>
      <c r="B18" s="8" t="s">
        <v>245</v>
      </c>
      <c r="C18" s="8"/>
      <c r="D18" s="8"/>
      <c r="E18" s="8"/>
      <c r="F18" s="8"/>
    </row>
    <row r="21" customFormat="false" ht="15" hidden="false" customHeight="false" outlineLevel="0" collapsed="false">
      <c r="A21" s="23" t="s">
        <v>246</v>
      </c>
      <c r="B21" s="23"/>
      <c r="C21" s="23"/>
      <c r="D21" s="23"/>
      <c r="E21" s="23"/>
      <c r="F21" s="23"/>
    </row>
    <row r="22" customFormat="false" ht="15" hidden="false" customHeight="true" outlineLevel="0" collapsed="false">
      <c r="A22" s="0" t="s">
        <v>247</v>
      </c>
      <c r="B22" s="8" t="s">
        <v>248</v>
      </c>
      <c r="C22" s="8"/>
      <c r="D22" s="8"/>
      <c r="E22" s="8"/>
      <c r="F22" s="8"/>
    </row>
    <row r="24" customFormat="false" ht="15" hidden="false" customHeight="true" outlineLevel="0" collapsed="false">
      <c r="A24" s="0" t="s">
        <v>249</v>
      </c>
      <c r="B24" s="8" t="s">
        <v>250</v>
      </c>
      <c r="C24" s="8"/>
      <c r="D24" s="8"/>
      <c r="E24" s="8"/>
      <c r="F24" s="8"/>
    </row>
    <row r="26" customFormat="false" ht="15" hidden="false" customHeight="true" outlineLevel="0" collapsed="false">
      <c r="A26" s="0" t="s">
        <v>251</v>
      </c>
      <c r="B26" s="8" t="s">
        <v>252</v>
      </c>
      <c r="C26" s="8"/>
      <c r="D26" s="8"/>
      <c r="E26" s="8"/>
      <c r="F26" s="8"/>
    </row>
    <row r="29" customFormat="false" ht="15" hidden="false" customHeight="false" outlineLevel="0" collapsed="false">
      <c r="A29" s="24" t="s">
        <v>253</v>
      </c>
      <c r="B29" s="24"/>
      <c r="C29" s="24"/>
      <c r="D29" s="24"/>
      <c r="E29" s="24"/>
      <c r="F29" s="24"/>
    </row>
    <row r="30" customFormat="false" ht="15" hidden="false" customHeight="true" outlineLevel="0" collapsed="false">
      <c r="A30" s="0" t="s">
        <v>254</v>
      </c>
      <c r="B30" s="8" t="s">
        <v>255</v>
      </c>
      <c r="C30" s="8"/>
      <c r="D30" s="8"/>
      <c r="E30" s="8"/>
      <c r="F30" s="8"/>
    </row>
    <row r="32" customFormat="false" ht="15" hidden="false" customHeight="true" outlineLevel="0" collapsed="false">
      <c r="A32" s="0" t="s">
        <v>256</v>
      </c>
      <c r="B32" s="8" t="s">
        <v>255</v>
      </c>
      <c r="C32" s="8"/>
      <c r="D32" s="8"/>
      <c r="E32" s="8"/>
      <c r="F32" s="8"/>
    </row>
    <row r="35" customFormat="false" ht="15" hidden="false" customHeight="false" outlineLevel="0" collapsed="false">
      <c r="A35" s="23" t="s">
        <v>257</v>
      </c>
      <c r="B35" s="23"/>
      <c r="C35" s="23"/>
      <c r="D35" s="23"/>
      <c r="E35" s="23"/>
      <c r="F35" s="23"/>
    </row>
    <row r="36" customFormat="false" ht="15" hidden="false" customHeight="true" outlineLevel="0" collapsed="false">
      <c r="A36" s="0" t="s">
        <v>258</v>
      </c>
      <c r="B36" s="8" t="s">
        <v>259</v>
      </c>
      <c r="C36" s="8"/>
      <c r="D36" s="8"/>
      <c r="E36" s="8"/>
      <c r="F36" s="8"/>
    </row>
    <row r="38" customFormat="false" ht="15" hidden="false" customHeight="true" outlineLevel="0" collapsed="false">
      <c r="A38" s="0" t="s">
        <v>260</v>
      </c>
      <c r="B38" s="8" t="s">
        <v>261</v>
      </c>
      <c r="C38" s="8"/>
      <c r="D38" s="8"/>
      <c r="E38" s="8"/>
      <c r="F38" s="8"/>
    </row>
    <row r="40" customFormat="false" ht="15" hidden="false" customHeight="true" outlineLevel="0" collapsed="false">
      <c r="A40" s="0" t="s">
        <v>262</v>
      </c>
      <c r="B40" s="8" t="s">
        <v>263</v>
      </c>
      <c r="C40" s="8"/>
      <c r="D40" s="8"/>
      <c r="E40" s="8"/>
      <c r="F40" s="8"/>
    </row>
    <row r="43" customFormat="false" ht="15" hidden="false" customHeight="false" outlineLevel="0" collapsed="false">
      <c r="A43" s="23" t="s">
        <v>264</v>
      </c>
      <c r="B43" s="23"/>
      <c r="C43" s="23"/>
      <c r="D43" s="23"/>
      <c r="E43" s="23"/>
      <c r="F43" s="23"/>
    </row>
    <row r="44" customFormat="false" ht="15" hidden="false" customHeight="true" outlineLevel="0" collapsed="false">
      <c r="A44" s="0" t="s">
        <v>265</v>
      </c>
      <c r="B44" s="8" t="s">
        <v>266</v>
      </c>
      <c r="C44" s="8"/>
      <c r="D44" s="8"/>
      <c r="E44" s="8"/>
      <c r="F44" s="8"/>
    </row>
    <row r="46" customFormat="false" ht="15" hidden="false" customHeight="true" outlineLevel="0" collapsed="false">
      <c r="A46" s="0" t="s">
        <v>267</v>
      </c>
      <c r="B46" s="8" t="s">
        <v>268</v>
      </c>
      <c r="C46" s="8"/>
      <c r="D46" s="8"/>
      <c r="E46" s="8"/>
      <c r="F46" s="8"/>
    </row>
    <row r="49" customFormat="false" ht="15" hidden="false" customHeight="false" outlineLevel="0" collapsed="false">
      <c r="A49" s="14" t="s">
        <v>269</v>
      </c>
      <c r="B49" s="14"/>
      <c r="C49" s="14"/>
      <c r="D49" s="14"/>
      <c r="E49" s="14"/>
      <c r="F49" s="14"/>
    </row>
    <row r="50" customFormat="false" ht="15" hidden="false" customHeight="true" outlineLevel="0" collapsed="false">
      <c r="A50" s="25" t="s">
        <v>270</v>
      </c>
      <c r="B50" s="25"/>
      <c r="C50" s="25"/>
      <c r="D50" s="25"/>
      <c r="E50" s="25"/>
      <c r="F50" s="25"/>
    </row>
    <row r="51" customFormat="false" ht="15" hidden="false" customHeight="true" outlineLevel="0" collapsed="false">
      <c r="A51" s="26" t="s">
        <v>271</v>
      </c>
      <c r="B51" s="26"/>
      <c r="C51" s="26"/>
      <c r="D51" s="26"/>
      <c r="E51" s="26"/>
      <c r="F51" s="26"/>
    </row>
    <row r="54" customFormat="false" ht="15" hidden="false" customHeight="false" outlineLevel="0" collapsed="false">
      <c r="A54" s="24" t="s">
        <v>272</v>
      </c>
      <c r="B54" s="24"/>
      <c r="C54" s="24"/>
      <c r="D54" s="24"/>
      <c r="E54" s="24"/>
      <c r="F54" s="24"/>
    </row>
    <row r="55" customFormat="false" ht="15" hidden="false" customHeight="true" outlineLevel="0" collapsed="false">
      <c r="A55" s="8" t="s">
        <v>273</v>
      </c>
      <c r="B55" s="8"/>
      <c r="C55" s="8"/>
      <c r="D55" s="8"/>
      <c r="E55" s="8"/>
      <c r="F55" s="8"/>
    </row>
  </sheetData>
  <mergeCells count="29">
    <mergeCell ref="A1:F1"/>
    <mergeCell ref="A3:F3"/>
    <mergeCell ref="A5:F5"/>
    <mergeCell ref="B6:F6"/>
    <mergeCell ref="B8:F8"/>
    <mergeCell ref="B10:F10"/>
    <mergeCell ref="A13:F13"/>
    <mergeCell ref="B14:F14"/>
    <mergeCell ref="B16:F16"/>
    <mergeCell ref="B18:F18"/>
    <mergeCell ref="A21:F21"/>
    <mergeCell ref="B22:F22"/>
    <mergeCell ref="B24:F24"/>
    <mergeCell ref="B26:F26"/>
    <mergeCell ref="A29:F29"/>
    <mergeCell ref="B30:F30"/>
    <mergeCell ref="B32:F32"/>
    <mergeCell ref="A35:F35"/>
    <mergeCell ref="B36:F36"/>
    <mergeCell ref="B38:F38"/>
    <mergeCell ref="B40:F40"/>
    <mergeCell ref="A43:F43"/>
    <mergeCell ref="B44:F44"/>
    <mergeCell ref="B46:F46"/>
    <mergeCell ref="A49:F49"/>
    <mergeCell ref="A50:F50"/>
    <mergeCell ref="A51:F51"/>
    <mergeCell ref="A54:F54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1" t="s">
        <v>274</v>
      </c>
      <c r="B1" s="11"/>
      <c r="C1" s="11"/>
      <c r="D1" s="11"/>
    </row>
    <row r="3" customFormat="false" ht="15" hidden="false" customHeight="false" outlineLevel="0" collapsed="false">
      <c r="A3" s="27" t="s">
        <v>275</v>
      </c>
      <c r="B3" s="27"/>
      <c r="C3" s="27"/>
      <c r="D3" s="27"/>
    </row>
    <row r="5" customFormat="false" ht="15" hidden="false" customHeight="false" outlineLevel="0" collapsed="false">
      <c r="A5" s="28" t="s">
        <v>276</v>
      </c>
      <c r="B5" s="28" t="s">
        <v>277</v>
      </c>
    </row>
    <row r="6" customFormat="false" ht="60" hidden="false" customHeight="true" outlineLevel="0" collapsed="false">
      <c r="A6" s="0" t="s">
        <v>278</v>
      </c>
      <c r="B6" s="13" t="s">
        <v>279</v>
      </c>
    </row>
    <row r="7" customFormat="false" ht="60" hidden="false" customHeight="true" outlineLevel="0" collapsed="false">
      <c r="A7" s="0" t="s">
        <v>280</v>
      </c>
      <c r="B7" s="13" t="s">
        <v>281</v>
      </c>
    </row>
    <row r="8" customFormat="false" ht="60" hidden="false" customHeight="true" outlineLevel="0" collapsed="false">
      <c r="A8" s="0" t="s">
        <v>282</v>
      </c>
      <c r="B8" s="13" t="s">
        <v>283</v>
      </c>
    </row>
    <row r="9" customFormat="false" ht="60" hidden="false" customHeight="true" outlineLevel="0" collapsed="false">
      <c r="A9" s="0" t="s">
        <v>284</v>
      </c>
      <c r="B9" s="13" t="s">
        <v>285</v>
      </c>
    </row>
    <row r="10" customFormat="false" ht="60" hidden="false" customHeight="true" outlineLevel="0" collapsed="false">
      <c r="A10" s="0" t="s">
        <v>286</v>
      </c>
      <c r="B10" s="13" t="s">
        <v>287</v>
      </c>
    </row>
    <row r="11" customFormat="false" ht="60" hidden="false" customHeight="true" outlineLevel="0" collapsed="false">
      <c r="A11" s="0" t="s">
        <v>288</v>
      </c>
      <c r="B11" s="13" t="s">
        <v>289</v>
      </c>
    </row>
    <row r="15" customFormat="false" ht="15" hidden="false" customHeight="false" outlineLevel="0" collapsed="false">
      <c r="A15" s="14" t="s">
        <v>290</v>
      </c>
      <c r="B15" s="14"/>
      <c r="C15" s="14"/>
      <c r="D15" s="14"/>
    </row>
    <row r="16" customFormat="false" ht="15" hidden="false" customHeight="true" outlineLevel="0" collapsed="false">
      <c r="A16" s="8" t="s">
        <v>291</v>
      </c>
      <c r="B16" s="8"/>
      <c r="C16" s="8"/>
      <c r="D16" s="8"/>
    </row>
    <row r="17" customFormat="false" ht="15" hidden="false" customHeight="true" outlineLevel="0" collapsed="false">
      <c r="A17" s="8" t="s">
        <v>292</v>
      </c>
      <c r="B17" s="8"/>
      <c r="C17" s="8"/>
      <c r="D17" s="8"/>
    </row>
    <row r="18" customFormat="false" ht="15" hidden="false" customHeight="true" outlineLevel="0" collapsed="false">
      <c r="A18" s="8" t="s">
        <v>293</v>
      </c>
      <c r="B18" s="8"/>
      <c r="C18" s="8"/>
      <c r="D18" s="8"/>
    </row>
    <row r="19" customFormat="false" ht="15" hidden="false" customHeight="true" outlineLevel="0" collapsed="false">
      <c r="A19" s="8" t="s">
        <v>294</v>
      </c>
      <c r="B19" s="8"/>
      <c r="C19" s="8"/>
      <c r="D19" s="8"/>
    </row>
    <row r="20" customFormat="false" ht="15" hidden="false" customHeight="true" outlineLevel="0" collapsed="false">
      <c r="A20" s="8" t="s">
        <v>295</v>
      </c>
      <c r="B20" s="8"/>
      <c r="C20" s="8"/>
      <c r="D20" s="8"/>
    </row>
  </sheetData>
  <mergeCells count="8">
    <mergeCell ref="A1:D1"/>
    <mergeCell ref="A3:D3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2"/>
  </cols>
  <sheetData>
    <row r="1" customFormat="false" ht="17.35" hidden="false" customHeight="false" outlineLevel="0" collapsed="false">
      <c r="A1" s="29" t="s">
        <v>296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3" customFormat="false" ht="15" hidden="false" customHeight="false" outlineLevel="0" collapsed="false">
      <c r="A3" s="27" t="s">
        <v>297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42</v>
      </c>
      <c r="N4" s="9" t="s">
        <v>43</v>
      </c>
      <c r="O4" s="9" t="s">
        <v>44</v>
      </c>
    </row>
    <row r="5" customFormat="false" ht="41.75" hidden="false" customHeight="false" outlineLevel="0" collapsed="false">
      <c r="A5" s="13" t="s">
        <v>298</v>
      </c>
      <c r="B5" s="13" t="s">
        <v>299</v>
      </c>
      <c r="C5" s="13" t="s">
        <v>300</v>
      </c>
      <c r="D5" s="13" t="s">
        <v>301</v>
      </c>
      <c r="E5" s="13" t="s">
        <v>302</v>
      </c>
      <c r="F5" s="13" t="s">
        <v>303</v>
      </c>
      <c r="G5" s="13" t="s">
        <v>304</v>
      </c>
      <c r="H5" s="13" t="s">
        <v>305</v>
      </c>
      <c r="I5" s="13" t="s">
        <v>306</v>
      </c>
      <c r="J5" s="13" t="s">
        <v>307</v>
      </c>
      <c r="K5" s="13" t="s">
        <v>308</v>
      </c>
      <c r="L5" s="13" t="s">
        <v>309</v>
      </c>
      <c r="M5" s="13" t="s">
        <v>310</v>
      </c>
      <c r="N5" s="13" t="s">
        <v>311</v>
      </c>
      <c r="O5" s="13" t="s">
        <v>312</v>
      </c>
    </row>
    <row r="6" customFormat="false" ht="28.35" hidden="false" customHeight="false" outlineLevel="0" collapsed="false">
      <c r="A6" s="13" t="s">
        <v>313</v>
      </c>
      <c r="B6" s="13" t="s">
        <v>314</v>
      </c>
      <c r="C6" s="13" t="s">
        <v>315</v>
      </c>
      <c r="D6" s="13" t="s">
        <v>316</v>
      </c>
      <c r="E6" s="13" t="s">
        <v>317</v>
      </c>
      <c r="F6" s="13" t="s">
        <v>318</v>
      </c>
      <c r="G6" s="13" t="s">
        <v>319</v>
      </c>
      <c r="H6" s="13" t="s">
        <v>320</v>
      </c>
      <c r="I6" s="13" t="s">
        <v>321</v>
      </c>
      <c r="J6" s="13" t="s">
        <v>322</v>
      </c>
      <c r="K6" s="13" t="s">
        <v>323</v>
      </c>
      <c r="L6" s="13" t="s">
        <v>324</v>
      </c>
      <c r="M6" s="13" t="s">
        <v>325</v>
      </c>
      <c r="N6" s="13" t="s">
        <v>326</v>
      </c>
      <c r="O6" s="13" t="s">
        <v>327</v>
      </c>
    </row>
    <row r="7" customFormat="false" ht="41.75" hidden="false" customHeight="false" outlineLevel="0" collapsed="false">
      <c r="A7" s="13" t="s">
        <v>328</v>
      </c>
      <c r="B7" s="13" t="s">
        <v>329</v>
      </c>
      <c r="C7" s="13" t="s">
        <v>330</v>
      </c>
      <c r="D7" s="13" t="s">
        <v>331</v>
      </c>
      <c r="E7" s="13" t="s">
        <v>332</v>
      </c>
      <c r="F7" s="13" t="s">
        <v>333</v>
      </c>
      <c r="G7" s="13" t="s">
        <v>334</v>
      </c>
      <c r="H7" s="13" t="s">
        <v>335</v>
      </c>
      <c r="I7" s="13" t="s">
        <v>336</v>
      </c>
      <c r="J7" s="13" t="s">
        <v>337</v>
      </c>
      <c r="K7" s="13" t="s">
        <v>338</v>
      </c>
      <c r="L7" s="13" t="s">
        <v>339</v>
      </c>
      <c r="M7" s="13" t="s">
        <v>340</v>
      </c>
      <c r="N7" s="13" t="s">
        <v>341</v>
      </c>
      <c r="O7" s="13" t="s">
        <v>342</v>
      </c>
    </row>
    <row r="10" customFormat="false" ht="15" hidden="false" customHeight="false" outlineLevel="0" collapsed="false">
      <c r="A10" s="23" t="s">
        <v>343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customFormat="false" ht="15" hidden="false" customHeight="false" outlineLevel="0" collapsed="false">
      <c r="A11" s="30" t="s">
        <v>344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customFormat="false" ht="15" hidden="false" customHeight="false" outlineLevel="0" collapsed="false">
      <c r="A12" s="30" t="s">
        <v>345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customFormat="false" ht="15" hidden="false" customHeight="false" outlineLevel="0" collapsed="false">
      <c r="A13" s="30" t="s">
        <v>346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customFormat="false" ht="15" hidden="false" customHeight="false" outlineLevel="0" collapsed="false">
      <c r="A14" s="30" t="s">
        <v>347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customFormat="false" ht="15" hidden="false" customHeight="false" outlineLevel="0" collapsed="false">
      <c r="A15" s="30" t="s">
        <v>348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</sheetData>
  <mergeCells count="8">
    <mergeCell ref="A1:O1"/>
    <mergeCell ref="A3:O3"/>
    <mergeCell ref="A10:O10"/>
    <mergeCell ref="A11:O11"/>
    <mergeCell ref="A12:O12"/>
    <mergeCell ref="A13:O13"/>
    <mergeCell ref="A14:O14"/>
    <mergeCell ref="A15:O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2025-11-13T12:46:46Z</dcterms:created>
  <dc:creator>openpyxl</dc:creator>
  <dc:description/>
  <dc:language>en-US</dc:language>
  <cp:lastModifiedBy/>
  <dcterms:modified xsi:type="dcterms:W3CDTF">2025-11-13T12:46:46Z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